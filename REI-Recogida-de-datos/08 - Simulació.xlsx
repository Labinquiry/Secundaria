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arcelona-my.sharepoint.com/personal/marianna_bosch_ub_edu/Documents/$$LABINQUIRY/LABINQUIRY-compartido/GitHub/Secundaria - public/Secundaria/REI-Recogida-de-datos/"/>
    </mc:Choice>
  </mc:AlternateContent>
  <xr:revisionPtr revIDLastSave="69" documentId="8_{AD96439F-D4FF-4DAD-B889-7404922BDC6C}" xr6:coauthVersionLast="47" xr6:coauthVersionMax="47" xr10:uidLastSave="{F5AAEDF4-1FD1-4C31-A3C7-F3B168DCEDA6}"/>
  <bookViews>
    <workbookView xWindow="-103" yWindow="-103" windowWidth="24892" windowHeight="14914" xr2:uid="{09F16F89-E2AF-4757-A77F-B6B0CD986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L33" i="1" s="1"/>
  <c r="L35" i="1" s="1"/>
  <c r="F25" i="1"/>
  <c r="L22" i="1" s="1"/>
  <c r="L24" i="1" s="1"/>
  <c r="F13" i="1"/>
  <c r="K10" i="1" s="1"/>
  <c r="K12" i="1" s="1"/>
  <c r="I33" i="1" l="1"/>
  <c r="I35" i="1" s="1"/>
  <c r="N35" i="1" s="1"/>
  <c r="I37" i="1" s="1"/>
  <c r="J33" i="1"/>
  <c r="J35" i="1" s="1"/>
  <c r="K33" i="1"/>
  <c r="K35" i="1" s="1"/>
  <c r="I22" i="1"/>
  <c r="I24" i="1" s="1"/>
  <c r="J22" i="1"/>
  <c r="J24" i="1" s="1"/>
  <c r="K22" i="1"/>
  <c r="K24" i="1" s="1"/>
  <c r="J10" i="1"/>
  <c r="J12" i="1" s="1"/>
  <c r="I10" i="1"/>
  <c r="I12" i="1" s="1"/>
  <c r="L10" i="1"/>
  <c r="L12" i="1" s="1"/>
  <c r="L37" i="1" l="1"/>
  <c r="K37" i="1"/>
  <c r="J37" i="1"/>
  <c r="N24" i="1"/>
  <c r="I26" i="1" s="1"/>
  <c r="I28" i="1" s="1"/>
  <c r="N12" i="1"/>
  <c r="L14" i="1" s="1"/>
  <c r="L16" i="1" s="1"/>
  <c r="L26" i="1" l="1"/>
  <c r="L28" i="1" s="1"/>
  <c r="J26" i="1"/>
  <c r="J28" i="1" s="1"/>
  <c r="K26" i="1"/>
  <c r="K28" i="1" s="1"/>
  <c r="K14" i="1"/>
  <c r="K16" i="1" s="1"/>
  <c r="J14" i="1"/>
  <c r="J16" i="1" s="1"/>
  <c r="I14" i="1"/>
  <c r="I16" i="1" s="1"/>
</calcChain>
</file>

<file path=xl/sharedStrings.xml><?xml version="1.0" encoding="utf-8"?>
<sst xmlns="http://schemas.openxmlformats.org/spreadsheetml/2006/main" count="55" uniqueCount="19">
  <si>
    <t>N</t>
  </si>
  <si>
    <t>Vermell</t>
  </si>
  <si>
    <t>Blau</t>
  </si>
  <si>
    <t>Groc</t>
  </si>
  <si>
    <t>Rosa</t>
  </si>
  <si>
    <t>Nombre de tirades que s'espera fer</t>
  </si>
  <si>
    <t>Probabilitats esperades</t>
  </si>
  <si>
    <t>Total boles</t>
  </si>
  <si>
    <t>Tipus A</t>
  </si>
  <si>
    <t>Tiups B</t>
  </si>
  <si>
    <t>Resultats esperats</t>
  </si>
  <si>
    <t>Total tirades</t>
  </si>
  <si>
    <t>Freqüències relatives</t>
  </si>
  <si>
    <t>Preparació de l'ampolla Tipus A</t>
  </si>
  <si>
    <t>Preparació de l'ampolla Tipus B</t>
  </si>
  <si>
    <t>Etiquetatge de les ampolles</t>
  </si>
  <si>
    <r>
      <rPr>
        <b/>
        <sz val="11"/>
        <color theme="1"/>
        <rFont val="Aptos Narrow"/>
        <family val="2"/>
        <scheme val="minor"/>
      </rPr>
      <t>Simulació</t>
    </r>
    <r>
      <rPr>
        <sz val="11"/>
        <color theme="1"/>
        <rFont val="Aptos Narrow"/>
        <family val="2"/>
        <scheme val="minor"/>
      </rPr>
      <t>: Quantes tirades hauriem de fer per assegurar-nos que els càlculs de freqüències relatives coincideixen amb les probabilitats esperades?</t>
    </r>
  </si>
  <si>
    <r>
      <t xml:space="preserve">Podeu canviar la </t>
    </r>
    <r>
      <rPr>
        <b/>
        <sz val="11"/>
        <color theme="1"/>
        <rFont val="Aptos Narrow"/>
        <family val="2"/>
        <scheme val="minor"/>
      </rPr>
      <t>preparació de l'ampolla</t>
    </r>
    <r>
      <rPr>
        <sz val="11"/>
        <color theme="1"/>
        <rFont val="Aptos Narrow"/>
        <family val="2"/>
        <scheme val="minor"/>
      </rPr>
      <t xml:space="preserve"> i el </t>
    </r>
    <r>
      <rPr>
        <b/>
        <sz val="11"/>
        <color theme="1"/>
        <rFont val="Aptos Narrow"/>
        <family val="2"/>
        <scheme val="minor"/>
      </rPr>
      <t>nombre de tirades (N)</t>
    </r>
    <r>
      <rPr>
        <sz val="11"/>
        <color theme="1"/>
        <rFont val="Aptos Narrow"/>
        <family val="2"/>
        <scheme val="minor"/>
      </rPr>
      <t xml:space="preserve"> i veure com varien els resultats.</t>
    </r>
  </si>
  <si>
    <t>Hipòtesis esperades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</si>
</sst>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CC9900"/>
      <name val="Aptos Narrow"/>
      <family val="2"/>
      <scheme val="minor"/>
    </font>
    <font>
      <b/>
      <sz val="11"/>
      <color rgb="FFFCBAF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1" fillId="3" borderId="0" xfId="0" applyFont="1" applyFill="1" applyAlignment="1">
      <alignment horizontal="center"/>
    </xf>
    <xf numFmtId="0" fontId="0" fillId="2" borderId="2" xfId="0" applyFill="1" applyBorder="1"/>
    <xf numFmtId="0" fontId="1" fillId="3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wrapText="1"/>
    </xf>
    <xf numFmtId="0" fontId="1" fillId="3" borderId="0" xfId="0" applyFont="1" applyFill="1"/>
    <xf numFmtId="2" fontId="0" fillId="3" borderId="0" xfId="0" applyNumberFormat="1" applyFill="1"/>
    <xf numFmtId="2" fontId="0" fillId="3" borderId="0" xfId="0" applyNumberFormat="1" applyFill="1" applyAlignment="1">
      <alignment horizontal="center"/>
    </xf>
    <xf numFmtId="0" fontId="0" fillId="2" borderId="4" xfId="0" applyFill="1" applyBorder="1"/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BAF3"/>
      <color rgb="FFCC9900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D08C-F70D-4A0B-AF5B-9D71BE9F5354}">
  <dimension ref="A1:CE43"/>
  <sheetViews>
    <sheetView tabSelected="1" topLeftCell="A2" zoomScale="104" zoomScaleNormal="44" workbookViewId="0">
      <selection activeCell="C21" sqref="C21"/>
    </sheetView>
  </sheetViews>
  <sheetFormatPr defaultRowHeight="14.6" x14ac:dyDescent="0.4"/>
  <cols>
    <col min="1" max="5" width="9.15234375" style="1"/>
    <col min="6" max="6" width="14" style="1" customWidth="1"/>
    <col min="7" max="7" width="2.53515625" style="6" customWidth="1"/>
    <col min="8" max="8" width="9.3046875" style="1" bestFit="1" customWidth="1"/>
    <col min="9" max="12" width="8.3828125" style="2" customWidth="1"/>
    <col min="13" max="13" width="12" style="1" bestFit="1" customWidth="1"/>
    <col min="14" max="14" width="9.3046875" style="1" bestFit="1" customWidth="1"/>
    <col min="15" max="15" width="12.3046875" style="1" bestFit="1" customWidth="1"/>
    <col min="16" max="16" width="2.53515625" style="6" customWidth="1"/>
    <col min="17" max="19" width="12.3046875" style="1" bestFit="1" customWidth="1"/>
    <col min="20" max="21" width="9.3046875" style="1" bestFit="1" customWidth="1"/>
    <col min="22" max="32" width="9.15234375" style="1"/>
    <col min="33" max="83" width="9.15234375" style="4"/>
  </cols>
  <sheetData>
    <row r="1" spans="1:19" ht="15" customHeight="1" x14ac:dyDescent="0.4">
      <c r="C1" s="19" t="s">
        <v>16</v>
      </c>
      <c r="D1" s="19"/>
      <c r="E1" s="19"/>
      <c r="F1" s="19"/>
      <c r="G1" s="19"/>
      <c r="H1" s="19"/>
      <c r="I1" s="19"/>
      <c r="J1" s="19"/>
      <c r="K1" s="19"/>
      <c r="L1" s="19"/>
      <c r="M1" s="12"/>
      <c r="N1" s="12"/>
    </row>
    <row r="2" spans="1:19" x14ac:dyDescent="0.4">
      <c r="C2" s="19"/>
      <c r="D2" s="19"/>
      <c r="E2" s="19"/>
      <c r="F2" s="19"/>
      <c r="G2" s="19"/>
      <c r="H2" s="19"/>
      <c r="I2" s="19"/>
      <c r="J2" s="19"/>
      <c r="K2" s="19"/>
      <c r="L2" s="19"/>
      <c r="M2" s="12"/>
      <c r="N2" s="12"/>
      <c r="O2" s="12"/>
    </row>
    <row r="3" spans="1:19" x14ac:dyDescent="0.4">
      <c r="C3" s="19"/>
      <c r="D3" s="19"/>
      <c r="E3" s="19"/>
      <c r="F3" s="19"/>
      <c r="G3" s="19"/>
      <c r="H3" s="19"/>
      <c r="I3" s="19"/>
      <c r="J3" s="19"/>
      <c r="K3" s="19"/>
      <c r="L3" s="19"/>
      <c r="M3" s="12"/>
      <c r="N3" s="12"/>
      <c r="O3" s="12"/>
    </row>
    <row r="4" spans="1:19" ht="15" customHeight="1" x14ac:dyDescent="0.4">
      <c r="C4" s="19" t="s">
        <v>17</v>
      </c>
      <c r="D4" s="19"/>
      <c r="E4" s="19"/>
      <c r="F4" s="19"/>
      <c r="G4" s="19"/>
      <c r="H4" s="19"/>
      <c r="I4" s="19"/>
      <c r="J4" s="19"/>
      <c r="K4" s="19"/>
      <c r="L4" s="19"/>
      <c r="M4" s="12"/>
      <c r="N4" s="12"/>
      <c r="O4" s="12"/>
    </row>
    <row r="5" spans="1:19" x14ac:dyDescent="0.4">
      <c r="C5" s="19"/>
      <c r="D5" s="19"/>
      <c r="E5" s="19"/>
      <c r="F5" s="19"/>
      <c r="G5" s="19"/>
      <c r="H5" s="19"/>
      <c r="I5" s="19"/>
      <c r="J5" s="19"/>
      <c r="K5" s="19"/>
      <c r="L5" s="19"/>
      <c r="M5" s="12"/>
      <c r="N5" s="12"/>
      <c r="O5" s="12"/>
    </row>
    <row r="6" spans="1:19" x14ac:dyDescent="0.4">
      <c r="G6" s="16"/>
      <c r="I6" s="12"/>
      <c r="J6" s="12"/>
      <c r="K6" s="12"/>
      <c r="L6" s="12"/>
      <c r="M6" s="12"/>
      <c r="N6" s="12"/>
      <c r="O6" s="12"/>
    </row>
    <row r="7" spans="1:19" x14ac:dyDescent="0.4">
      <c r="I7" s="12"/>
      <c r="J7" s="12"/>
      <c r="K7" s="12"/>
      <c r="L7" s="12"/>
      <c r="M7" s="12"/>
      <c r="N7" s="12"/>
    </row>
    <row r="8" spans="1:19" x14ac:dyDescent="0.4">
      <c r="A8" s="17" t="s">
        <v>5</v>
      </c>
      <c r="B8" s="17"/>
      <c r="C8" s="17"/>
      <c r="D8" s="17"/>
      <c r="E8" s="17"/>
      <c r="F8" s="18"/>
      <c r="I8" s="17" t="s">
        <v>6</v>
      </c>
      <c r="J8" s="17"/>
      <c r="K8" s="17"/>
      <c r="L8" s="17"/>
    </row>
    <row r="9" spans="1:19" x14ac:dyDescent="0.4">
      <c r="B9" s="7" t="s">
        <v>0</v>
      </c>
      <c r="C9" s="3">
        <v>800</v>
      </c>
      <c r="I9" s="8" t="s">
        <v>2</v>
      </c>
      <c r="J9" s="9" t="s">
        <v>1</v>
      </c>
      <c r="K9" s="10" t="s">
        <v>3</v>
      </c>
      <c r="L9" s="11" t="s">
        <v>4</v>
      </c>
    </row>
    <row r="10" spans="1:19" x14ac:dyDescent="0.4">
      <c r="I10" s="2">
        <f>A13/$F13</f>
        <v>0.48</v>
      </c>
      <c r="J10" s="2">
        <f t="shared" ref="J10:L10" si="0">B13/$F13</f>
        <v>0.28000000000000003</v>
      </c>
      <c r="K10" s="2">
        <f t="shared" si="0"/>
        <v>0.2</v>
      </c>
      <c r="L10" s="2">
        <f t="shared" si="0"/>
        <v>0.04</v>
      </c>
    </row>
    <row r="11" spans="1:19" x14ac:dyDescent="0.4">
      <c r="A11" s="17" t="s">
        <v>13</v>
      </c>
      <c r="B11" s="17"/>
      <c r="C11" s="17"/>
      <c r="D11" s="17"/>
      <c r="E11" s="17"/>
      <c r="F11" s="18"/>
      <c r="I11" s="17" t="s">
        <v>10</v>
      </c>
      <c r="J11" s="17"/>
      <c r="K11" s="17"/>
      <c r="L11" s="17"/>
      <c r="N11" s="13" t="s">
        <v>11</v>
      </c>
      <c r="R11" s="17" t="s">
        <v>15</v>
      </c>
      <c r="S11" s="17"/>
    </row>
    <row r="12" spans="1:19" x14ac:dyDescent="0.4">
      <c r="A12" s="8" t="s">
        <v>2</v>
      </c>
      <c r="B12" s="9" t="s">
        <v>1</v>
      </c>
      <c r="C12" s="10" t="s">
        <v>3</v>
      </c>
      <c r="D12" s="11" t="s">
        <v>4</v>
      </c>
      <c r="E12" s="5"/>
      <c r="F12" s="5" t="s">
        <v>7</v>
      </c>
      <c r="I12" s="2">
        <f ca="1">_xlfn.BINOM.INV($C9,I10,RAND())</f>
        <v>398</v>
      </c>
      <c r="J12" s="2">
        <f t="shared" ref="J12:L12" ca="1" si="1">_xlfn.BINOM.INV($C9,J10,RAND())</f>
        <v>230</v>
      </c>
      <c r="K12" s="2">
        <f t="shared" ca="1" si="1"/>
        <v>173</v>
      </c>
      <c r="L12" s="2">
        <f t="shared" ca="1" si="1"/>
        <v>34</v>
      </c>
      <c r="N12" s="1">
        <f ca="1">SUM(I12:M12)</f>
        <v>835</v>
      </c>
      <c r="O12" s="14"/>
      <c r="R12" s="13" t="s">
        <v>8</v>
      </c>
      <c r="S12" s="13" t="s">
        <v>9</v>
      </c>
    </row>
    <row r="13" spans="1:19" x14ac:dyDescent="0.4">
      <c r="A13" s="3">
        <v>12</v>
      </c>
      <c r="B13" s="3">
        <v>7</v>
      </c>
      <c r="C13" s="3">
        <v>5</v>
      </c>
      <c r="D13" s="3">
        <v>1</v>
      </c>
      <c r="E13" s="3"/>
      <c r="F13" s="2">
        <f>SUM(A13:E13)</f>
        <v>25</v>
      </c>
      <c r="I13" s="17" t="s">
        <v>12</v>
      </c>
      <c r="J13" s="17"/>
      <c r="K13" s="17"/>
      <c r="L13" s="17"/>
      <c r="R13" s="1">
        <v>11</v>
      </c>
      <c r="S13" s="1">
        <v>2</v>
      </c>
    </row>
    <row r="14" spans="1:19" x14ac:dyDescent="0.4">
      <c r="I14" s="15">
        <f ca="1">I12/$N12</f>
        <v>0.47664670658682634</v>
      </c>
      <c r="J14" s="15">
        <f t="shared" ref="J14:L14" ca="1" si="2">J12/$N12</f>
        <v>0.27544910179640719</v>
      </c>
      <c r="K14" s="15">
        <f t="shared" ca="1" si="2"/>
        <v>0.20718562874251498</v>
      </c>
      <c r="L14" s="15">
        <f t="shared" ca="1" si="2"/>
        <v>4.0718562874251497E-2</v>
      </c>
      <c r="R14" s="1">
        <v>15</v>
      </c>
      <c r="S14" s="1">
        <v>4</v>
      </c>
    </row>
    <row r="15" spans="1:19" x14ac:dyDescent="0.4">
      <c r="I15" s="17" t="s">
        <v>18</v>
      </c>
      <c r="J15" s="17"/>
      <c r="K15" s="17"/>
      <c r="L15" s="17"/>
      <c r="R15" s="1">
        <v>16</v>
      </c>
      <c r="S15" s="1">
        <v>5</v>
      </c>
    </row>
    <row r="16" spans="1:19" x14ac:dyDescent="0.4">
      <c r="I16" s="20">
        <f ca="1">I14*25</f>
        <v>11.916167664670658</v>
      </c>
      <c r="J16" s="20">
        <f t="shared" ref="J16:L16" ca="1" si="3">J14*25</f>
        <v>6.88622754491018</v>
      </c>
      <c r="K16" s="20">
        <f t="shared" ca="1" si="3"/>
        <v>5.1796407185628741</v>
      </c>
      <c r="L16" s="20">
        <f t="shared" ca="1" si="3"/>
        <v>1.0179640718562875</v>
      </c>
      <c r="R16" s="1">
        <v>12</v>
      </c>
      <c r="S16" s="1">
        <v>6</v>
      </c>
    </row>
    <row r="17" spans="1:19" x14ac:dyDescent="0.4">
      <c r="R17" s="1">
        <v>7</v>
      </c>
      <c r="S17" s="1">
        <v>9</v>
      </c>
    </row>
    <row r="18" spans="1:19" x14ac:dyDescent="0.4">
      <c r="R18" s="1">
        <v>8</v>
      </c>
      <c r="S18" s="1">
        <v>10</v>
      </c>
    </row>
    <row r="19" spans="1:19" x14ac:dyDescent="0.4">
      <c r="R19" s="1">
        <v>1</v>
      </c>
      <c r="S19" s="1">
        <v>13</v>
      </c>
    </row>
    <row r="20" spans="1:19" x14ac:dyDescent="0.4">
      <c r="A20" s="17" t="s">
        <v>5</v>
      </c>
      <c r="B20" s="17"/>
      <c r="C20" s="17"/>
      <c r="D20" s="17"/>
      <c r="E20" s="17"/>
      <c r="F20" s="18"/>
      <c r="I20" s="17" t="s">
        <v>6</v>
      </c>
      <c r="J20" s="17"/>
      <c r="K20" s="17"/>
      <c r="L20" s="17"/>
      <c r="R20" s="1">
        <v>3</v>
      </c>
      <c r="S20" s="1">
        <v>14</v>
      </c>
    </row>
    <row r="21" spans="1:19" x14ac:dyDescent="0.4">
      <c r="B21" s="7" t="s">
        <v>0</v>
      </c>
      <c r="C21" s="3">
        <v>800</v>
      </c>
      <c r="I21" s="8" t="s">
        <v>2</v>
      </c>
      <c r="J21" s="9" t="s">
        <v>1</v>
      </c>
      <c r="K21" s="10" t="s">
        <v>3</v>
      </c>
      <c r="L21" s="11" t="s">
        <v>4</v>
      </c>
    </row>
    <row r="22" spans="1:19" x14ac:dyDescent="0.4">
      <c r="I22" s="2">
        <f>A25/$F25</f>
        <v>0.04</v>
      </c>
      <c r="J22" s="2">
        <f t="shared" ref="J22" si="4">B25/$F25</f>
        <v>0.32</v>
      </c>
      <c r="K22" s="2">
        <f t="shared" ref="K22" si="5">C25/$F25</f>
        <v>0.08</v>
      </c>
      <c r="L22" s="2">
        <f t="shared" ref="L22" si="6">D25/$F25</f>
        <v>0.56000000000000005</v>
      </c>
    </row>
    <row r="23" spans="1:19" x14ac:dyDescent="0.4">
      <c r="A23" s="17" t="s">
        <v>14</v>
      </c>
      <c r="B23" s="17"/>
      <c r="C23" s="17"/>
      <c r="D23" s="17"/>
      <c r="E23" s="17"/>
      <c r="F23" s="18"/>
      <c r="I23" s="17" t="s">
        <v>10</v>
      </c>
      <c r="J23" s="17"/>
      <c r="K23" s="17"/>
      <c r="L23" s="17"/>
      <c r="N23" s="13" t="s">
        <v>11</v>
      </c>
    </row>
    <row r="24" spans="1:19" x14ac:dyDescent="0.4">
      <c r="A24" s="8" t="s">
        <v>2</v>
      </c>
      <c r="B24" s="9" t="s">
        <v>1</v>
      </c>
      <c r="C24" s="10" t="s">
        <v>3</v>
      </c>
      <c r="D24" s="11" t="s">
        <v>4</v>
      </c>
      <c r="E24" s="5"/>
      <c r="F24" s="5" t="s">
        <v>7</v>
      </c>
      <c r="I24" s="2">
        <f ca="1">_xlfn.BINOM.INV($C21,I22,RAND())</f>
        <v>39</v>
      </c>
      <c r="J24" s="2">
        <f t="shared" ref="J24:L24" ca="1" si="7">_xlfn.BINOM.INV($C21,J22,RAND())</f>
        <v>257</v>
      </c>
      <c r="K24" s="2">
        <f t="shared" ca="1" si="7"/>
        <v>78</v>
      </c>
      <c r="L24" s="2">
        <f t="shared" ca="1" si="7"/>
        <v>438</v>
      </c>
      <c r="N24" s="1">
        <f ca="1">SUM(I24:M24)</f>
        <v>812</v>
      </c>
      <c r="O24" s="14"/>
      <c r="Q24" s="14"/>
      <c r="R24" s="14"/>
      <c r="S24" s="14"/>
    </row>
    <row r="25" spans="1:19" x14ac:dyDescent="0.4">
      <c r="A25" s="3">
        <v>1</v>
      </c>
      <c r="B25" s="3">
        <v>8</v>
      </c>
      <c r="C25" s="3">
        <v>2</v>
      </c>
      <c r="D25" s="3">
        <v>14</v>
      </c>
      <c r="E25" s="3"/>
      <c r="F25" s="2">
        <f>SUM(A25:E25)</f>
        <v>25</v>
      </c>
      <c r="I25" s="17" t="s">
        <v>12</v>
      </c>
      <c r="J25" s="17"/>
      <c r="K25" s="17"/>
      <c r="L25" s="17"/>
    </row>
    <row r="26" spans="1:19" x14ac:dyDescent="0.4">
      <c r="I26" s="15">
        <f ca="1">I24/$N24</f>
        <v>4.8029556650246302E-2</v>
      </c>
      <c r="J26" s="15">
        <f t="shared" ref="J26:L26" ca="1" si="8">J24/$N24</f>
        <v>0.31650246305418717</v>
      </c>
      <c r="K26" s="15">
        <f t="shared" ca="1" si="8"/>
        <v>9.6059113300492605E-2</v>
      </c>
      <c r="L26" s="15">
        <f t="shared" ca="1" si="8"/>
        <v>0.53940886699507384</v>
      </c>
    </row>
    <row r="27" spans="1:19" x14ac:dyDescent="0.4">
      <c r="I27" s="17" t="s">
        <v>18</v>
      </c>
      <c r="J27" s="17"/>
      <c r="K27" s="17"/>
      <c r="L27" s="17"/>
    </row>
    <row r="28" spans="1:19" x14ac:dyDescent="0.4">
      <c r="I28" s="20">
        <f ca="1">I26*25</f>
        <v>1.2007389162561575</v>
      </c>
      <c r="J28" s="20">
        <f t="shared" ref="J28:L28" ca="1" si="9">J26*25</f>
        <v>7.9125615763546788</v>
      </c>
      <c r="K28" s="20">
        <f t="shared" ca="1" si="9"/>
        <v>2.4014778325123149</v>
      </c>
      <c r="L28" s="20">
        <f t="shared" ca="1" si="9"/>
        <v>13.485221674876847</v>
      </c>
    </row>
    <row r="29" spans="1:19" x14ac:dyDescent="0.4">
      <c r="I29" s="20"/>
      <c r="J29" s="20"/>
      <c r="K29" s="20"/>
      <c r="L29" s="20"/>
    </row>
    <row r="30" spans="1:19" x14ac:dyDescent="0.4">
      <c r="I30" s="20"/>
      <c r="J30" s="20"/>
      <c r="K30" s="20"/>
      <c r="L30" s="20"/>
    </row>
    <row r="31" spans="1:19" x14ac:dyDescent="0.4">
      <c r="A31" s="17" t="s">
        <v>5</v>
      </c>
      <c r="B31" s="17"/>
      <c r="C31" s="17"/>
      <c r="D31" s="17"/>
      <c r="E31" s="17"/>
      <c r="F31" s="18"/>
      <c r="I31" s="17" t="s">
        <v>6</v>
      </c>
      <c r="J31" s="17"/>
      <c r="K31" s="17"/>
      <c r="L31" s="17"/>
    </row>
    <row r="32" spans="1:19" x14ac:dyDescent="0.4">
      <c r="B32" s="7" t="s">
        <v>0</v>
      </c>
      <c r="C32" s="3"/>
      <c r="I32" s="8" t="s">
        <v>2</v>
      </c>
      <c r="J32" s="9" t="s">
        <v>1</v>
      </c>
      <c r="K32" s="10" t="s">
        <v>3</v>
      </c>
      <c r="L32" s="11" t="s">
        <v>4</v>
      </c>
    </row>
    <row r="33" spans="1:19" x14ac:dyDescent="0.4">
      <c r="I33" s="2" t="e">
        <f>A36/$F36</f>
        <v>#DIV/0!</v>
      </c>
      <c r="J33" s="2" t="e">
        <f t="shared" ref="J33" si="10">B36/$F36</f>
        <v>#DIV/0!</v>
      </c>
      <c r="K33" s="2" t="e">
        <f t="shared" ref="K33" si="11">C36/$F36</f>
        <v>#DIV/0!</v>
      </c>
      <c r="L33" s="2" t="e">
        <f t="shared" ref="L33" si="12">D36/$F36</f>
        <v>#DIV/0!</v>
      </c>
    </row>
    <row r="34" spans="1:19" x14ac:dyDescent="0.4">
      <c r="A34" s="17" t="s">
        <v>14</v>
      </c>
      <c r="B34" s="17"/>
      <c r="C34" s="17"/>
      <c r="D34" s="17"/>
      <c r="E34" s="17"/>
      <c r="F34" s="18"/>
      <c r="I34" s="17" t="s">
        <v>10</v>
      </c>
      <c r="J34" s="17"/>
      <c r="K34" s="17"/>
      <c r="L34" s="17"/>
      <c r="N34" s="13" t="s">
        <v>11</v>
      </c>
    </row>
    <row r="35" spans="1:19" x14ac:dyDescent="0.4">
      <c r="A35" s="8" t="s">
        <v>2</v>
      </c>
      <c r="B35" s="9" t="s">
        <v>1</v>
      </c>
      <c r="C35" s="10" t="s">
        <v>3</v>
      </c>
      <c r="D35" s="11" t="s">
        <v>4</v>
      </c>
      <c r="E35" s="5"/>
      <c r="F35" s="5" t="s">
        <v>7</v>
      </c>
      <c r="I35" s="2" t="e">
        <f ca="1">_xlfn.BINOM.INV($C32,I33,RAND())</f>
        <v>#DIV/0!</v>
      </c>
      <c r="J35" s="2" t="e">
        <f t="shared" ref="J35:L35" ca="1" si="13">_xlfn.BINOM.INV($C32,J33,RAND())</f>
        <v>#DIV/0!</v>
      </c>
      <c r="K35" s="2" t="e">
        <f t="shared" ca="1" si="13"/>
        <v>#DIV/0!</v>
      </c>
      <c r="L35" s="2" t="e">
        <f t="shared" ca="1" si="13"/>
        <v>#DIV/0!</v>
      </c>
      <c r="N35" s="1" t="e">
        <f ca="1">SUM(I35:M35)</f>
        <v>#DIV/0!</v>
      </c>
      <c r="O35" s="14"/>
    </row>
    <row r="36" spans="1:19" x14ac:dyDescent="0.4">
      <c r="A36" s="3"/>
      <c r="B36" s="3"/>
      <c r="C36" s="3"/>
      <c r="D36" s="3"/>
      <c r="E36" s="3"/>
      <c r="F36" s="2">
        <f>SUM(A36:E36)</f>
        <v>0</v>
      </c>
      <c r="I36" s="17" t="s">
        <v>12</v>
      </c>
      <c r="J36" s="17"/>
      <c r="K36" s="17"/>
      <c r="L36" s="17"/>
    </row>
    <row r="37" spans="1:19" x14ac:dyDescent="0.4">
      <c r="I37" s="15" t="e">
        <f ca="1">I35/$N35</f>
        <v>#DIV/0!</v>
      </c>
      <c r="J37" s="15" t="e">
        <f t="shared" ref="J37:L37" ca="1" si="14">J35/$N35</f>
        <v>#DIV/0!</v>
      </c>
      <c r="K37" s="15" t="e">
        <f t="shared" ca="1" si="14"/>
        <v>#DIV/0!</v>
      </c>
      <c r="L37" s="15" t="e">
        <f t="shared" ca="1" si="14"/>
        <v>#DIV/0!</v>
      </c>
      <c r="Q37" s="14"/>
      <c r="R37" s="14"/>
      <c r="S37" s="14"/>
    </row>
    <row r="39" spans="1:19" x14ac:dyDescent="0.4">
      <c r="I39" s="5"/>
      <c r="J39" s="5"/>
      <c r="K39" s="5"/>
      <c r="L39" s="5"/>
    </row>
    <row r="40" spans="1:19" x14ac:dyDescent="0.4">
      <c r="H40" s="5"/>
    </row>
    <row r="43" spans="1:19" x14ac:dyDescent="0.4">
      <c r="O43" s="14"/>
      <c r="Q43" s="14"/>
      <c r="R43" s="14"/>
      <c r="S43" s="14"/>
    </row>
  </sheetData>
  <mergeCells count="20">
    <mergeCell ref="I25:L25"/>
    <mergeCell ref="A11:F11"/>
    <mergeCell ref="A8:F8"/>
    <mergeCell ref="I15:L15"/>
    <mergeCell ref="I27:L27"/>
    <mergeCell ref="I13:L13"/>
    <mergeCell ref="A20:F20"/>
    <mergeCell ref="I20:L20"/>
    <mergeCell ref="A23:F23"/>
    <mergeCell ref="I23:L23"/>
    <mergeCell ref="R11:S11"/>
    <mergeCell ref="C1:L3"/>
    <mergeCell ref="C4:L5"/>
    <mergeCell ref="I8:L8"/>
    <mergeCell ref="I11:L11"/>
    <mergeCell ref="A31:F31"/>
    <mergeCell ref="I31:L31"/>
    <mergeCell ref="A34:F34"/>
    <mergeCell ref="I34:L34"/>
    <mergeCell ref="I36:L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Vásquez Elias</dc:creator>
  <cp:lastModifiedBy>Susana Vásquez</cp:lastModifiedBy>
  <dcterms:created xsi:type="dcterms:W3CDTF">2025-02-17T09:01:35Z</dcterms:created>
  <dcterms:modified xsi:type="dcterms:W3CDTF">2025-02-27T12:15:08Z</dcterms:modified>
</cp:coreProperties>
</file>